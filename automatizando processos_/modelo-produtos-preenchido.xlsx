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>
    <definedName name="_xlnm._FilterDatabase" localSheetId="0" hidden="1">'Modelo'!$A$1:$K$46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 &quot;kg&quot;"/>
    <numFmt numFmtId="165" formatCode="#,##0;[Red]-#,##0"/>
    <numFmt numFmtId="166" formatCode="#,##0.000 &quot;kg&quot;;[Red]-#,##0.000 &quot;kg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A7F7C"/>
    </font>
  </fonts>
  <fills count="5">
    <fill>
      <patternFill/>
    </fill>
    <fill>
      <patternFill patternType="gray125"/>
    </fill>
    <fill>
      <patternFill patternType="solid">
        <fgColor rgb="00E21420"/>
      </patternFill>
    </fill>
    <fill>
      <patternFill patternType="solid">
        <fgColor rgb="00FAF6F3"/>
      </patternFill>
    </fill>
    <fill>
      <patternFill patternType="solid">
        <fgColor rgb="00FFF6CC"/>
      </patternFill>
    </fill>
  </fills>
  <borders count="3">
    <border>
      <left/>
      <right/>
      <top/>
      <bottom/>
      <diagonal/>
    </border>
    <border>
      <bottom style="thin">
        <color rgb="00E8DFDA"/>
      </bottom>
    </border>
    <border>
      <top style="medium">
        <color rgb="001F1615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0" fillId="0" borderId="2" pivotButton="0" quotePrefix="0" xfId="0"/>
    <xf numFmtId="0" fontId="2" fillId="0" borderId="2" pivotButton="0" quotePrefix="0" xfId="0"/>
    <xf numFmtId="3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6" fontId="2" fillId="0" borderId="2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9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 ht="32" customHeight="1">
      <c r="A1" s="1" t="inlineStr">
        <is>
          <t>Código</t>
        </is>
      </c>
      <c r="B1" s="1" t="inlineStr">
        <is>
          <t>Descrição</t>
        </is>
      </c>
      <c r="C1" s="1" t="inlineStr">
        <is>
          <t>Referência</t>
        </is>
      </c>
      <c r="D1" s="1" t="inlineStr">
        <is>
          <t>Peso</t>
        </is>
      </c>
      <c r="E1" s="1" t="inlineStr">
        <is>
          <t>peso para produção (margem de erro)</t>
        </is>
      </c>
      <c r="F1" s="1" t="inlineStr">
        <is>
          <t>local 1</t>
        </is>
      </c>
      <c r="G1" s="1" t="inlineStr">
        <is>
          <t>local 5</t>
        </is>
      </c>
      <c r="H1" s="1" t="inlineStr">
        <is>
          <t>estoque disponivel</t>
        </is>
      </c>
      <c r="I1" s="1" t="inlineStr">
        <is>
          <t>pedido ttl</t>
        </is>
      </c>
      <c r="J1" s="1" t="inlineStr">
        <is>
          <t>produzir</t>
        </is>
      </c>
      <c r="K1" s="1" t="inlineStr">
        <is>
          <t>quilos ttl a produzir</t>
        </is>
      </c>
    </row>
    <row r="2">
      <c r="A2" s="2" t="n">
        <v>512</v>
      </c>
      <c r="B2" s="2" t="inlineStr">
        <is>
          <t>ALHO FRITO - ISA - 60g - CX 48</t>
        </is>
      </c>
      <c r="C2" s="2" t="inlineStr">
        <is>
          <t>ISA POTE S/ST</t>
        </is>
      </c>
      <c r="D2" s="2" t="inlineStr">
        <is>
          <t>60 g</t>
        </is>
      </c>
      <c r="E2" s="3" t="n">
        <v>0.061</v>
      </c>
      <c r="F2" s="4" t="n">
        <v>3651</v>
      </c>
      <c r="G2" s="4" t="n">
        <v>240</v>
      </c>
      <c r="H2" s="4">
        <f>F2+G2</f>
        <v/>
      </c>
      <c r="I2" s="5" t="n"/>
      <c r="J2" s="6">
        <f>H2-I2</f>
        <v/>
      </c>
      <c r="K2" s="7">
        <f>J2*E2</f>
        <v/>
      </c>
    </row>
    <row r="3">
      <c r="A3" s="8" t="n">
        <v>513</v>
      </c>
      <c r="B3" s="8" t="inlineStr">
        <is>
          <t>AMACIANTE DE CARNE - ISA - 100g - CX 48</t>
        </is>
      </c>
      <c r="C3" s="8" t="inlineStr">
        <is>
          <t>ISA POTE C/ST</t>
        </is>
      </c>
      <c r="D3" s="8" t="inlineStr">
        <is>
          <t>100 g</t>
        </is>
      </c>
      <c r="E3" s="9" t="n">
        <v>0.101</v>
      </c>
      <c r="F3" s="10" t="n">
        <v>48</v>
      </c>
      <c r="G3" s="10" t="n">
        <v>0</v>
      </c>
      <c r="H3" s="10">
        <f>F3+G3</f>
        <v/>
      </c>
      <c r="I3" s="5" t="n"/>
      <c r="J3" s="11">
        <f>H3-I3</f>
        <v/>
      </c>
      <c r="K3" s="12">
        <f>J3*E3</f>
        <v/>
      </c>
    </row>
    <row r="4">
      <c r="A4" s="2" t="n">
        <v>515</v>
      </c>
      <c r="B4" s="2" t="inlineStr">
        <is>
          <t>BICARBONATO DE SÓDIO - ISA - 130g - CX 48</t>
        </is>
      </c>
      <c r="C4" s="2" t="inlineStr">
        <is>
          <t>ISA POTE S/ST</t>
        </is>
      </c>
      <c r="D4" s="2" t="inlineStr">
        <is>
          <t>130 g</t>
        </is>
      </c>
      <c r="E4" s="3" t="n">
        <v>0.13</v>
      </c>
      <c r="F4" s="4" t="n">
        <v>2160</v>
      </c>
      <c r="G4" s="4" t="n">
        <v>0</v>
      </c>
      <c r="H4" s="4">
        <f>F4+G4</f>
        <v/>
      </c>
      <c r="I4" s="5" t="n"/>
      <c r="J4" s="6">
        <f>H4-I4</f>
        <v/>
      </c>
      <c r="K4" s="7">
        <f>J4*E4</f>
        <v/>
      </c>
    </row>
    <row r="5">
      <c r="A5" s="8" t="n">
        <v>516</v>
      </c>
      <c r="B5" s="8" t="inlineStr">
        <is>
          <t>CALDO DE BACON - ISA - 100g - CX 48</t>
        </is>
      </c>
      <c r="C5" s="8" t="inlineStr">
        <is>
          <t>ISA POTE S/ST</t>
        </is>
      </c>
      <c r="D5" s="8" t="inlineStr">
        <is>
          <t>100 g</t>
        </is>
      </c>
      <c r="E5" s="9" t="n">
        <v>0.101</v>
      </c>
      <c r="F5" s="10" t="n">
        <v>337</v>
      </c>
      <c r="G5" s="10" t="n">
        <v>0</v>
      </c>
      <c r="H5" s="10">
        <f>F5+G5</f>
        <v/>
      </c>
      <c r="I5" s="5" t="n"/>
      <c r="J5" s="11">
        <f>H5-I5</f>
        <v/>
      </c>
      <c r="K5" s="12">
        <f>J5*E5</f>
        <v/>
      </c>
    </row>
    <row r="6">
      <c r="A6" s="2" t="n">
        <v>518</v>
      </c>
      <c r="B6" s="2" t="inlineStr">
        <is>
          <t>CALDO DE CARNE - ISA - 100g - CX 48</t>
        </is>
      </c>
      <c r="C6" s="2" t="inlineStr">
        <is>
          <t>ISA POTE S/ST</t>
        </is>
      </c>
      <c r="D6" s="2" t="inlineStr">
        <is>
          <t>100 g</t>
        </is>
      </c>
      <c r="E6" s="3" t="n">
        <v>0.101</v>
      </c>
      <c r="F6" s="4" t="n">
        <v>44</v>
      </c>
      <c r="G6" s="4" t="n">
        <v>0</v>
      </c>
      <c r="H6" s="4">
        <f>F6+G6</f>
        <v/>
      </c>
      <c r="I6" s="5" t="n"/>
      <c r="J6" s="6">
        <f>H6-I6</f>
        <v/>
      </c>
      <c r="K6" s="7">
        <f>J6*E6</f>
        <v/>
      </c>
    </row>
    <row r="7">
      <c r="A7" s="8" t="n">
        <v>519</v>
      </c>
      <c r="B7" s="8" t="inlineStr">
        <is>
          <t>CALDO DE COSTELA - ISA - 100g - CX 48</t>
        </is>
      </c>
      <c r="C7" s="8" t="inlineStr">
        <is>
          <t>ISA POTE S/ST</t>
        </is>
      </c>
      <c r="D7" s="8" t="inlineStr">
        <is>
          <t>100 g</t>
        </is>
      </c>
      <c r="E7" s="9" t="n">
        <v>0.101</v>
      </c>
      <c r="F7" s="10" t="n">
        <v>588</v>
      </c>
      <c r="G7" s="10" t="n">
        <v>0</v>
      </c>
      <c r="H7" s="10">
        <f>F7+G7</f>
        <v/>
      </c>
      <c r="I7" s="5" t="n"/>
      <c r="J7" s="11">
        <f>H7-I7</f>
        <v/>
      </c>
      <c r="K7" s="12">
        <f>J7*E7</f>
        <v/>
      </c>
    </row>
    <row r="8">
      <c r="A8" s="2" t="n">
        <v>520</v>
      </c>
      <c r="B8" s="2" t="inlineStr">
        <is>
          <t>CALDO DE GALINHA - ISA - 100g - CX 48</t>
        </is>
      </c>
      <c r="C8" s="2" t="inlineStr">
        <is>
          <t>ISA POTE S/ST</t>
        </is>
      </c>
      <c r="D8" s="2" t="inlineStr">
        <is>
          <t>100 g</t>
        </is>
      </c>
      <c r="E8" s="3" t="n">
        <v>0.101</v>
      </c>
      <c r="F8" s="4" t="n">
        <v>846</v>
      </c>
      <c r="G8" s="4" t="n">
        <v>0</v>
      </c>
      <c r="H8" s="4">
        <f>F8+G8</f>
        <v/>
      </c>
      <c r="I8" s="5" t="n"/>
      <c r="J8" s="6">
        <f>H8-I8</f>
        <v/>
      </c>
      <c r="K8" s="7">
        <f>J8*E8</f>
        <v/>
      </c>
    </row>
    <row r="9">
      <c r="A9" s="8" t="n">
        <v>521</v>
      </c>
      <c r="B9" s="8" t="inlineStr">
        <is>
          <t>CALDO DE GALINHA CAIPIRA - ISA - 100g - CX 48</t>
        </is>
      </c>
      <c r="C9" s="8" t="inlineStr">
        <is>
          <t>ISA POTE S/ST</t>
        </is>
      </c>
      <c r="D9" s="8" t="inlineStr">
        <is>
          <t>100 g</t>
        </is>
      </c>
      <c r="E9" s="9" t="n">
        <v>0.101</v>
      </c>
      <c r="F9" s="10" t="n">
        <v>355</v>
      </c>
      <c r="G9" s="10" t="n">
        <v>0</v>
      </c>
      <c r="H9" s="10">
        <f>F9+G9</f>
        <v/>
      </c>
      <c r="I9" s="5" t="n"/>
      <c r="J9" s="11">
        <f>H9-I9</f>
        <v/>
      </c>
      <c r="K9" s="12">
        <f>J9*E9</f>
        <v/>
      </c>
    </row>
    <row r="10">
      <c r="A10" s="2" t="n">
        <v>522</v>
      </c>
      <c r="B10" s="2" t="inlineStr">
        <is>
          <t>CALDO DE LEGUMES - ISA - 100g - CX 48</t>
        </is>
      </c>
      <c r="C10" s="2" t="inlineStr">
        <is>
          <t>ISA POTE S/ST</t>
        </is>
      </c>
      <c r="D10" s="2" t="inlineStr">
        <is>
          <t>100 g</t>
        </is>
      </c>
      <c r="E10" s="3" t="n">
        <v>0.101</v>
      </c>
      <c r="F10" s="4" t="n">
        <v>329</v>
      </c>
      <c r="G10" s="4" t="n">
        <v>0</v>
      </c>
      <c r="H10" s="4">
        <f>F10+G10</f>
        <v/>
      </c>
      <c r="I10" s="5" t="n"/>
      <c r="J10" s="6">
        <f>H10-I10</f>
        <v/>
      </c>
      <c r="K10" s="7">
        <f>J10*E10</f>
        <v/>
      </c>
    </row>
    <row r="11">
      <c r="A11" s="8" t="n">
        <v>525</v>
      </c>
      <c r="B11" s="8" t="inlineStr">
        <is>
          <t>CANELA EM PÓ PREMIUM - ISA - 50g - CX 48</t>
        </is>
      </c>
      <c r="C11" s="8" t="inlineStr">
        <is>
          <t>ISA POTE S/ST</t>
        </is>
      </c>
      <c r="D11" s="8" t="inlineStr">
        <is>
          <t>50 g</t>
        </is>
      </c>
      <c r="E11" s="9" t="n">
        <v>0.051</v>
      </c>
      <c r="F11" s="10" t="n">
        <v>1095</v>
      </c>
      <c r="G11" s="10" t="n">
        <v>0</v>
      </c>
      <c r="H11" s="10">
        <f>F11+G11</f>
        <v/>
      </c>
      <c r="I11" s="5" t="n"/>
      <c r="J11" s="11">
        <f>H11-I11</f>
        <v/>
      </c>
      <c r="K11" s="12">
        <f>J11*E11</f>
        <v/>
      </c>
    </row>
    <row r="12">
      <c r="A12" s="2" t="n">
        <v>529</v>
      </c>
      <c r="B12" s="2" t="inlineStr">
        <is>
          <t>CEBOLA SALSA E ALHO - ISA - 40g - CX 48</t>
        </is>
      </c>
      <c r="C12" s="2" t="inlineStr">
        <is>
          <t>ISA POTE C/ST</t>
        </is>
      </c>
      <c r="D12" s="2" t="inlineStr">
        <is>
          <t>40 g</t>
        </is>
      </c>
      <c r="E12" s="3" t="n">
        <v>0.041</v>
      </c>
      <c r="F12" s="4" t="n">
        <v>84</v>
      </c>
      <c r="G12" s="4" t="n">
        <v>0</v>
      </c>
      <c r="H12" s="4">
        <f>F12+G12</f>
        <v/>
      </c>
      <c r="I12" s="5" t="n"/>
      <c r="J12" s="6">
        <f>H12-I12</f>
        <v/>
      </c>
      <c r="K12" s="7">
        <f>J12*E12</f>
        <v/>
      </c>
    </row>
    <row r="13">
      <c r="A13" s="8" t="n">
        <v>504</v>
      </c>
      <c r="B13" s="8" t="inlineStr">
        <is>
          <t>CHIMICHURRI DEFUMADO - ISA - 50g - CX 48</t>
        </is>
      </c>
      <c r="C13" s="8" t="inlineStr">
        <is>
          <t>ISA POTE C/ST</t>
        </is>
      </c>
      <c r="D13" s="8" t="inlineStr">
        <is>
          <t>50 g</t>
        </is>
      </c>
      <c r="E13" s="9" t="n">
        <v>0.051</v>
      </c>
      <c r="F13" s="10" t="n">
        <v>538</v>
      </c>
      <c r="G13" s="10" t="n">
        <v>96</v>
      </c>
      <c r="H13" s="10">
        <f>F13+G13</f>
        <v/>
      </c>
      <c r="I13" s="5" t="n"/>
      <c r="J13" s="11">
        <f>H13-I13</f>
        <v/>
      </c>
      <c r="K13" s="12">
        <f>J13*E13</f>
        <v/>
      </c>
    </row>
    <row r="14">
      <c r="A14" s="2" t="n">
        <v>506</v>
      </c>
      <c r="B14" s="2" t="inlineStr">
        <is>
          <t>CHIMICHURRI PIMENTA - ISA - 50g - CX 48</t>
        </is>
      </c>
      <c r="C14" s="2" t="inlineStr">
        <is>
          <t>ISA POTE C/ST</t>
        </is>
      </c>
      <c r="D14" s="2" t="inlineStr">
        <is>
          <t>50 g</t>
        </is>
      </c>
      <c r="E14" s="3" t="n">
        <v>0.051</v>
      </c>
      <c r="F14" s="4" t="n">
        <v>83</v>
      </c>
      <c r="G14" s="4" t="n">
        <v>0</v>
      </c>
      <c r="H14" s="4">
        <f>F14+G14</f>
        <v/>
      </c>
      <c r="I14" s="5" t="n"/>
      <c r="J14" s="6">
        <f>H14-I14</f>
        <v/>
      </c>
      <c r="K14" s="7">
        <f>J14*E14</f>
        <v/>
      </c>
    </row>
    <row r="15">
      <c r="A15" s="8" t="n">
        <v>507</v>
      </c>
      <c r="B15" s="8" t="inlineStr">
        <is>
          <t>CHIMICHURRI SEM PIMENTA  - ISA - 50g - CX 48</t>
        </is>
      </c>
      <c r="C15" s="8" t="inlineStr">
        <is>
          <t>ISA POTE C/ST</t>
        </is>
      </c>
      <c r="D15" s="8" t="inlineStr">
        <is>
          <t>50 g</t>
        </is>
      </c>
      <c r="E15" s="9" t="n">
        <v>0.051</v>
      </c>
      <c r="F15" s="10" t="n">
        <v>983</v>
      </c>
      <c r="G15" s="10" t="n">
        <v>0</v>
      </c>
      <c r="H15" s="10">
        <f>F15+G15</f>
        <v/>
      </c>
      <c r="I15" s="5" t="n"/>
      <c r="J15" s="11">
        <f>H15-I15</f>
        <v/>
      </c>
      <c r="K15" s="12">
        <f>J15*E15</f>
        <v/>
      </c>
    </row>
    <row r="16">
      <c r="A16" s="2" t="n">
        <v>533</v>
      </c>
      <c r="B16" s="2" t="inlineStr">
        <is>
          <t>COENTRO EM PÓ PREMIUM - ISA - 40g - CX 48</t>
        </is>
      </c>
      <c r="C16" s="2" t="inlineStr">
        <is>
          <t>ISA POTE S/ST</t>
        </is>
      </c>
      <c r="D16" s="2" t="inlineStr">
        <is>
          <t>40 g</t>
        </is>
      </c>
      <c r="E16" s="3" t="n">
        <v>0.041</v>
      </c>
      <c r="F16" s="4" t="n">
        <v>551</v>
      </c>
      <c r="G16" s="4" t="n">
        <v>0</v>
      </c>
      <c r="H16" s="4">
        <f>F16+G16</f>
        <v/>
      </c>
      <c r="I16" s="5" t="n"/>
      <c r="J16" s="6">
        <f>H16-I16</f>
        <v/>
      </c>
      <c r="K16" s="7">
        <f>J16*E16</f>
        <v/>
      </c>
    </row>
    <row r="17">
      <c r="A17" s="8" t="n">
        <v>536</v>
      </c>
      <c r="B17" s="8" t="inlineStr">
        <is>
          <t>COLORAU ESPECIAL - ISA - 80g - CX 48</t>
        </is>
      </c>
      <c r="C17" s="8" t="inlineStr">
        <is>
          <t>ISA POTE C/ST</t>
        </is>
      </c>
      <c r="D17" s="8" t="inlineStr">
        <is>
          <t>80 g</t>
        </is>
      </c>
      <c r="E17" s="9" t="n">
        <v>0.081</v>
      </c>
      <c r="F17" s="10" t="n">
        <v>895</v>
      </c>
      <c r="G17" s="10" t="n">
        <v>0</v>
      </c>
      <c r="H17" s="10">
        <f>F17+G17</f>
        <v/>
      </c>
      <c r="I17" s="5" t="n"/>
      <c r="J17" s="11">
        <f>H17-I17</f>
        <v/>
      </c>
      <c r="K17" s="12">
        <f>J17*E17</f>
        <v/>
      </c>
    </row>
    <row r="18">
      <c r="A18" s="2" t="n">
        <v>537</v>
      </c>
      <c r="B18" s="2" t="inlineStr">
        <is>
          <t>COMINHO EM PÓ PREMIUM - ISA - 60g - CX 48</t>
        </is>
      </c>
      <c r="C18" s="2" t="inlineStr">
        <is>
          <t>ISA POTE S/ST</t>
        </is>
      </c>
      <c r="D18" s="2" t="inlineStr">
        <is>
          <t>60 g</t>
        </is>
      </c>
      <c r="E18" s="3" t="n">
        <v>0.061</v>
      </c>
      <c r="F18" s="4" t="n">
        <v>471</v>
      </c>
      <c r="G18" s="4" t="n">
        <v>0</v>
      </c>
      <c r="H18" s="4">
        <f>F18+G18</f>
        <v/>
      </c>
      <c r="I18" s="5" t="n"/>
      <c r="J18" s="6">
        <f>H18-I18</f>
        <v/>
      </c>
      <c r="K18" s="7">
        <f>J18*E18</f>
        <v/>
      </c>
    </row>
    <row r="19">
      <c r="A19" s="8" t="n">
        <v>539</v>
      </c>
      <c r="B19" s="8" t="inlineStr">
        <is>
          <t>CRAVO-DA-ÍNDIA  - ISA - 40g - CX 48</t>
        </is>
      </c>
      <c r="C19" s="8" t="inlineStr">
        <is>
          <t>ISA POTE S/ST</t>
        </is>
      </c>
      <c r="D19" s="8" t="inlineStr">
        <is>
          <t>40 g</t>
        </is>
      </c>
      <c r="E19" s="9" t="n">
        <v>0.04</v>
      </c>
      <c r="F19" s="10" t="n">
        <v>2416</v>
      </c>
      <c r="G19" s="10" t="n">
        <v>0</v>
      </c>
      <c r="H19" s="10">
        <f>F19+G19</f>
        <v/>
      </c>
      <c r="I19" s="5" t="n"/>
      <c r="J19" s="11">
        <f>H19-I19</f>
        <v/>
      </c>
      <c r="K19" s="12">
        <f>J19*E19</f>
        <v/>
      </c>
    </row>
    <row r="20">
      <c r="A20" s="2" t="n">
        <v>541</v>
      </c>
      <c r="B20" s="2" t="inlineStr">
        <is>
          <t>CREME DE CEBOLA - ISA - 90g - CX 48</t>
        </is>
      </c>
      <c r="C20" s="2" t="inlineStr">
        <is>
          <t>ISA POTE S/ST</t>
        </is>
      </c>
      <c r="D20" s="2" t="inlineStr">
        <is>
          <t>90 g</t>
        </is>
      </c>
      <c r="E20" s="3" t="n">
        <v>0.091</v>
      </c>
      <c r="F20" s="4" t="n">
        <v>588</v>
      </c>
      <c r="G20" s="4" t="n">
        <v>0</v>
      </c>
      <c r="H20" s="4">
        <f>F20+G20</f>
        <v/>
      </c>
      <c r="I20" s="5" t="n"/>
      <c r="J20" s="6">
        <f>H20-I20</f>
        <v/>
      </c>
      <c r="K20" s="7">
        <f>J20*E20</f>
        <v/>
      </c>
    </row>
    <row r="21">
      <c r="A21" s="8" t="n">
        <v>543</v>
      </c>
      <c r="B21" s="8" t="inlineStr">
        <is>
          <t>CURRY - ISA - 60g - CX 48</t>
        </is>
      </c>
      <c r="C21" s="8" t="inlineStr">
        <is>
          <t>ISA POTE S/ST</t>
        </is>
      </c>
      <c r="D21" s="8" t="inlineStr">
        <is>
          <t>60 g</t>
        </is>
      </c>
      <c r="E21" s="9" t="n">
        <v>0.061</v>
      </c>
      <c r="F21" s="10" t="n">
        <v>468</v>
      </c>
      <c r="G21" s="10" t="n">
        <v>0</v>
      </c>
      <c r="H21" s="10">
        <f>F21+G21</f>
        <v/>
      </c>
      <c r="I21" s="5" t="n"/>
      <c r="J21" s="11">
        <f>H21-I21</f>
        <v/>
      </c>
      <c r="K21" s="12">
        <f>J21*E21</f>
        <v/>
      </c>
    </row>
    <row r="22">
      <c r="A22" s="2" t="n">
        <v>542</v>
      </c>
      <c r="B22" s="2" t="inlineStr">
        <is>
          <t>CÚRCUMA EM PÓ - ISA - 60g - CX 48</t>
        </is>
      </c>
      <c r="C22" s="2" t="inlineStr">
        <is>
          <t>ISA POTE S/ST</t>
        </is>
      </c>
      <c r="D22" s="2" t="inlineStr">
        <is>
          <t>60 g</t>
        </is>
      </c>
      <c r="E22" s="3" t="n">
        <v>0.061</v>
      </c>
      <c r="F22" s="4" t="n">
        <v>454</v>
      </c>
      <c r="G22" s="4" t="n">
        <v>0</v>
      </c>
      <c r="H22" s="4">
        <f>F22+G22</f>
        <v/>
      </c>
      <c r="I22" s="5" t="n"/>
      <c r="J22" s="6">
        <f>H22-I22</f>
        <v/>
      </c>
      <c r="K22" s="7">
        <f>J22*E22</f>
        <v/>
      </c>
    </row>
    <row r="23">
      <c r="A23" s="8" t="n">
        <v>546</v>
      </c>
      <c r="B23" s="8" t="inlineStr">
        <is>
          <t>ERVAS FINAS - ISA - 25g - CX 48</t>
        </is>
      </c>
      <c r="C23" s="8" t="inlineStr">
        <is>
          <t>ISA POTE C/ST</t>
        </is>
      </c>
      <c r="D23" s="8" t="inlineStr">
        <is>
          <t>25 g</t>
        </is>
      </c>
      <c r="E23" s="9" t="n">
        <v>0.026</v>
      </c>
      <c r="F23" s="10" t="n">
        <v>84</v>
      </c>
      <c r="G23" s="10" t="n">
        <v>0</v>
      </c>
      <c r="H23" s="10">
        <f>F23+G23</f>
        <v/>
      </c>
      <c r="I23" s="5" t="n"/>
      <c r="J23" s="11">
        <f>H23-I23</f>
        <v/>
      </c>
      <c r="K23" s="12">
        <f>J23*E23</f>
        <v/>
      </c>
    </row>
    <row r="24">
      <c r="A24" s="2" t="n">
        <v>550</v>
      </c>
      <c r="B24" s="2" t="inlineStr">
        <is>
          <t>LEMON PEPPER - ISA - 100g - CX 48</t>
        </is>
      </c>
      <c r="C24" s="2" t="inlineStr">
        <is>
          <t>ISA POTE C/ST</t>
        </is>
      </c>
      <c r="D24" s="2" t="inlineStr">
        <is>
          <t>100 g</t>
        </is>
      </c>
      <c r="E24" s="3" t="n">
        <v>0.101</v>
      </c>
      <c r="F24" s="4" t="n">
        <v>470</v>
      </c>
      <c r="G24" s="4" t="n">
        <v>48</v>
      </c>
      <c r="H24" s="4">
        <f>F24+G24</f>
        <v/>
      </c>
      <c r="I24" s="5" t="n"/>
      <c r="J24" s="6">
        <f>H24-I24</f>
        <v/>
      </c>
      <c r="K24" s="7">
        <f>J24*E24</f>
        <v/>
      </c>
    </row>
    <row r="25">
      <c r="A25" s="8" t="n">
        <v>551</v>
      </c>
      <c r="B25" s="8" t="inlineStr">
        <is>
          <t>LEMON PEPPER DEFUMADO - ISA - 100g - CX 48</t>
        </is>
      </c>
      <c r="C25" s="8" t="inlineStr">
        <is>
          <t>ISA POTE C/ST</t>
        </is>
      </c>
      <c r="D25" s="8" t="inlineStr">
        <is>
          <t>100 g</t>
        </is>
      </c>
      <c r="E25" s="9" t="n">
        <v>0.101</v>
      </c>
      <c r="F25" s="10" t="n">
        <v>1406</v>
      </c>
      <c r="G25" s="10" t="n">
        <v>0</v>
      </c>
      <c r="H25" s="10">
        <f>F25+G25</f>
        <v/>
      </c>
      <c r="I25" s="5" t="n"/>
      <c r="J25" s="11">
        <f>H25-I25</f>
        <v/>
      </c>
      <c r="K25" s="12">
        <f>J25*E25</f>
        <v/>
      </c>
    </row>
    <row r="26">
      <c r="A26" s="2" t="n">
        <v>549</v>
      </c>
      <c r="B26" s="2" t="inlineStr">
        <is>
          <t>LIMÃO E ERVAS FINAS - ISA - 70g - CX 48</t>
        </is>
      </c>
      <c r="C26" s="2" t="inlineStr">
        <is>
          <t>ISA POTE C/ST</t>
        </is>
      </c>
      <c r="D26" s="2" t="inlineStr">
        <is>
          <t>70 g</t>
        </is>
      </c>
      <c r="E26" s="3" t="n">
        <v>0.07099999999999999</v>
      </c>
      <c r="F26" s="4" t="n">
        <v>1550</v>
      </c>
      <c r="G26" s="4" t="n">
        <v>0</v>
      </c>
      <c r="H26" s="4">
        <f>F26+G26</f>
        <v/>
      </c>
      <c r="I26" s="5" t="n"/>
      <c r="J26" s="6">
        <f>H26-I26</f>
        <v/>
      </c>
      <c r="K26" s="7">
        <f>J26*E26</f>
        <v/>
      </c>
    </row>
    <row r="27">
      <c r="A27" s="8" t="n">
        <v>561</v>
      </c>
      <c r="B27" s="8" t="inlineStr">
        <is>
          <t>ORÉGANO EM FLOCOS - ISA - 10g - CX 48</t>
        </is>
      </c>
      <c r="C27" s="8" t="inlineStr">
        <is>
          <t>ISA POTE S/ST</t>
        </is>
      </c>
      <c r="D27" s="8" t="inlineStr">
        <is>
          <t>10 g</t>
        </is>
      </c>
      <c r="E27" s="9" t="n">
        <v>0.01</v>
      </c>
      <c r="F27" s="10" t="n">
        <v>3232</v>
      </c>
      <c r="G27" s="10" t="n">
        <v>480</v>
      </c>
      <c r="H27" s="10">
        <f>F27+G27</f>
        <v/>
      </c>
      <c r="I27" s="5" t="n"/>
      <c r="J27" s="11">
        <f>H27-I27</f>
        <v/>
      </c>
      <c r="K27" s="12">
        <f>J27*E27</f>
        <v/>
      </c>
    </row>
    <row r="28">
      <c r="A28" s="2" t="n">
        <v>573</v>
      </c>
      <c r="B28" s="2" t="inlineStr">
        <is>
          <t>PIMENTA DO REINO EM PÓ - ISA - 60g - CX 48</t>
        </is>
      </c>
      <c r="C28" s="2" t="inlineStr">
        <is>
          <t>ISA POTE S/ST</t>
        </is>
      </c>
      <c r="D28" s="2" t="inlineStr">
        <is>
          <t>60 g</t>
        </is>
      </c>
      <c r="E28" s="3" t="n">
        <v>0.061</v>
      </c>
      <c r="F28" s="4" t="n">
        <v>41</v>
      </c>
      <c r="G28" s="4" t="n">
        <v>0</v>
      </c>
      <c r="H28" s="4">
        <f>F28+G28</f>
        <v/>
      </c>
      <c r="I28" s="5" t="n"/>
      <c r="J28" s="6">
        <f>H28-I28</f>
        <v/>
      </c>
      <c r="K28" s="7">
        <f>J28*E28</f>
        <v/>
      </c>
    </row>
    <row r="29">
      <c r="A29" s="8" t="n">
        <v>563</v>
      </c>
      <c r="B29" s="8" t="inlineStr">
        <is>
          <t>PÁPRICA DEFUMADA - ISA - 80g - CX 48</t>
        </is>
      </c>
      <c r="C29" s="8" t="inlineStr">
        <is>
          <t>ISA POTE S/ST</t>
        </is>
      </c>
      <c r="D29" s="8" t="inlineStr">
        <is>
          <t>80 g</t>
        </is>
      </c>
      <c r="E29" s="9" t="n">
        <v>0.081</v>
      </c>
      <c r="F29" s="10" t="n">
        <v>5555</v>
      </c>
      <c r="G29" s="10" t="n">
        <v>0</v>
      </c>
      <c r="H29" s="10">
        <f>F29+G29</f>
        <v/>
      </c>
      <c r="I29" s="5" t="n"/>
      <c r="J29" s="11">
        <f>H29-I29</f>
        <v/>
      </c>
      <c r="K29" s="12">
        <f>J29*E29</f>
        <v/>
      </c>
    </row>
    <row r="30">
      <c r="A30" s="2" t="n">
        <v>564</v>
      </c>
      <c r="B30" s="2" t="inlineStr">
        <is>
          <t>PÁPRICA DOCE - ISA - 80g - CX 48</t>
        </is>
      </c>
      <c r="C30" s="2" t="inlineStr">
        <is>
          <t>ISA POTE S/ST</t>
        </is>
      </c>
      <c r="D30" s="2" t="inlineStr">
        <is>
          <t>80 g</t>
        </is>
      </c>
      <c r="E30" s="3" t="n">
        <v>0.081</v>
      </c>
      <c r="F30" s="4" t="n">
        <v>2518</v>
      </c>
      <c r="G30" s="4" t="n">
        <v>0</v>
      </c>
      <c r="H30" s="4">
        <f>F30+G30</f>
        <v/>
      </c>
      <c r="I30" s="5" t="n"/>
      <c r="J30" s="6">
        <f>H30-I30</f>
        <v/>
      </c>
      <c r="K30" s="7">
        <f>J30*E30</f>
        <v/>
      </c>
    </row>
    <row r="31">
      <c r="A31" s="8" t="n">
        <v>565</v>
      </c>
      <c r="B31" s="8" t="inlineStr">
        <is>
          <t>PÁPRICA PICANTE - ISA - 80g - CX 48</t>
        </is>
      </c>
      <c r="C31" s="8" t="inlineStr">
        <is>
          <t>ISA POTE S/ST</t>
        </is>
      </c>
      <c r="D31" s="8" t="inlineStr">
        <is>
          <t>80 g</t>
        </is>
      </c>
      <c r="E31" s="9" t="n">
        <v>0.081</v>
      </c>
      <c r="F31" s="10" t="n">
        <v>2249</v>
      </c>
      <c r="G31" s="10" t="n">
        <v>0</v>
      </c>
      <c r="H31" s="10">
        <f>F31+G31</f>
        <v/>
      </c>
      <c r="I31" s="5" t="n"/>
      <c r="J31" s="11">
        <f>H31-I31</f>
        <v/>
      </c>
      <c r="K31" s="12">
        <f>J31*E31</f>
        <v/>
      </c>
    </row>
    <row r="32">
      <c r="A32" s="2" t="n">
        <v>586</v>
      </c>
      <c r="B32" s="2" t="inlineStr">
        <is>
          <t>TEMPERO ANA MARIA - ISA - 60g - CX 48</t>
        </is>
      </c>
      <c r="C32" s="2" t="inlineStr">
        <is>
          <t>ISA POTE C/ST</t>
        </is>
      </c>
      <c r="D32" s="2" t="inlineStr">
        <is>
          <t>60 g</t>
        </is>
      </c>
      <c r="E32" s="3" t="n">
        <v>0.061</v>
      </c>
      <c r="F32" s="4" t="n">
        <v>0</v>
      </c>
      <c r="G32" s="4" t="n">
        <v>0</v>
      </c>
      <c r="H32" s="4">
        <f>F32+G32</f>
        <v/>
      </c>
      <c r="I32" s="5" t="n"/>
      <c r="J32" s="6">
        <f>H32-I32</f>
        <v/>
      </c>
      <c r="K32" s="7">
        <f>J32*E32</f>
        <v/>
      </c>
    </row>
    <row r="33">
      <c r="A33" s="8" t="n">
        <v>587</v>
      </c>
      <c r="B33" s="8" t="inlineStr">
        <is>
          <t>TEMPERO BAIANO COM PIMENTA - ISA - 60g - CX 48</t>
        </is>
      </c>
      <c r="C33" s="8" t="inlineStr">
        <is>
          <t>ISA POTE C/ST</t>
        </is>
      </c>
      <c r="D33" s="8" t="inlineStr">
        <is>
          <t>60 g</t>
        </is>
      </c>
      <c r="E33" s="9" t="n">
        <v>0.061</v>
      </c>
      <c r="F33" s="10" t="n">
        <v>16</v>
      </c>
      <c r="G33" s="10" t="n">
        <v>0</v>
      </c>
      <c r="H33" s="10">
        <f>F33+G33</f>
        <v/>
      </c>
      <c r="I33" s="5" t="n"/>
      <c r="J33" s="11">
        <f>H33-I33</f>
        <v/>
      </c>
      <c r="K33" s="12">
        <f>J33*E33</f>
        <v/>
      </c>
    </row>
    <row r="34">
      <c r="A34" s="2" t="n">
        <v>589</v>
      </c>
      <c r="B34" s="2" t="inlineStr">
        <is>
          <t>TEMPERO DA FAZENDA - ISA - 70g - CX 48</t>
        </is>
      </c>
      <c r="C34" s="2" t="inlineStr">
        <is>
          <t>ISA POTE C/ST</t>
        </is>
      </c>
      <c r="D34" s="2" t="inlineStr">
        <is>
          <t>70 g</t>
        </is>
      </c>
      <c r="E34" s="3" t="n">
        <v>0.07099999999999999</v>
      </c>
      <c r="F34" s="4" t="n">
        <v>43</v>
      </c>
      <c r="G34" s="4" t="n">
        <v>0</v>
      </c>
      <c r="H34" s="4">
        <f>F34+G34</f>
        <v/>
      </c>
      <c r="I34" s="5" t="n"/>
      <c r="J34" s="6">
        <f>H34-I34</f>
        <v/>
      </c>
      <c r="K34" s="7">
        <f>J34*E34</f>
        <v/>
      </c>
    </row>
    <row r="35">
      <c r="A35" s="8" t="n">
        <v>591</v>
      </c>
      <c r="B35" s="8" t="inlineStr">
        <is>
          <t>TEMPERO DO CHEFE - ISA - 50g - CX 48</t>
        </is>
      </c>
      <c r="C35" s="8" t="inlineStr">
        <is>
          <t>ISA POTE C/ST</t>
        </is>
      </c>
      <c r="D35" s="8" t="inlineStr">
        <is>
          <t>50 g</t>
        </is>
      </c>
      <c r="E35" s="9" t="n">
        <v>0.051</v>
      </c>
      <c r="F35" s="10" t="n">
        <v>28</v>
      </c>
      <c r="G35" s="10" t="n">
        <v>0</v>
      </c>
      <c r="H35" s="10">
        <f>F35+G35</f>
        <v/>
      </c>
      <c r="I35" s="5" t="n"/>
      <c r="J35" s="11">
        <f>H35-I35</f>
        <v/>
      </c>
      <c r="K35" s="12">
        <f>J35*E35</f>
        <v/>
      </c>
    </row>
    <row r="36">
      <c r="A36" s="2" t="n">
        <v>592</v>
      </c>
      <c r="B36" s="2" t="inlineStr">
        <is>
          <t>TEMPERO DO EDU - ISA - 50g - CX 48</t>
        </is>
      </c>
      <c r="C36" s="2" t="inlineStr">
        <is>
          <t>ISA POTE C/ST</t>
        </is>
      </c>
      <c r="D36" s="2" t="inlineStr">
        <is>
          <t>50 g</t>
        </is>
      </c>
      <c r="E36" s="3" t="n">
        <v>0.051</v>
      </c>
      <c r="F36" s="4" t="n">
        <v>142</v>
      </c>
      <c r="G36" s="4" t="n">
        <v>0</v>
      </c>
      <c r="H36" s="4">
        <f>F36+G36</f>
        <v/>
      </c>
      <c r="I36" s="5" t="n"/>
      <c r="J36" s="6">
        <f>H36-I36</f>
        <v/>
      </c>
      <c r="K36" s="7">
        <f>J36*E36</f>
        <v/>
      </c>
    </row>
    <row r="37">
      <c r="A37" s="8" t="n">
        <v>594</v>
      </c>
      <c r="B37" s="8" t="inlineStr">
        <is>
          <t>TEMPERO GAÚCHO - ISA - 40g - CX 48</t>
        </is>
      </c>
      <c r="C37" s="8" t="inlineStr">
        <is>
          <t>ISA POTE C/ST</t>
        </is>
      </c>
      <c r="D37" s="8" t="inlineStr">
        <is>
          <t>40 g</t>
        </is>
      </c>
      <c r="E37" s="9" t="n">
        <v>0.041</v>
      </c>
      <c r="F37" s="10" t="n">
        <v>38</v>
      </c>
      <c r="G37" s="10" t="n">
        <v>0</v>
      </c>
      <c r="H37" s="10">
        <f>F37+G37</f>
        <v/>
      </c>
      <c r="I37" s="5" t="n"/>
      <c r="J37" s="11">
        <f>H37-I37</f>
        <v/>
      </c>
      <c r="K37" s="12">
        <f>J37*E37</f>
        <v/>
      </c>
    </row>
    <row r="38">
      <c r="A38" s="2" t="n">
        <v>595</v>
      </c>
      <c r="B38" s="2" t="inlineStr">
        <is>
          <t>TEMPERO ISA FUNCIONAL - ISA - 50g - CX 48</t>
        </is>
      </c>
      <c r="C38" s="2" t="inlineStr">
        <is>
          <t>ISA POTE C/ST</t>
        </is>
      </c>
      <c r="D38" s="2" t="inlineStr">
        <is>
          <t>50 g</t>
        </is>
      </c>
      <c r="E38" s="3" t="n">
        <v>0.051</v>
      </c>
      <c r="F38" s="4" t="n">
        <v>38</v>
      </c>
      <c r="G38" s="4" t="n">
        <v>0</v>
      </c>
      <c r="H38" s="4">
        <f>F38+G38</f>
        <v/>
      </c>
      <c r="I38" s="5" t="n"/>
      <c r="J38" s="6">
        <f>H38-I38</f>
        <v/>
      </c>
      <c r="K38" s="7">
        <f>J38*E38</f>
        <v/>
      </c>
    </row>
    <row r="39">
      <c r="A39" s="8" t="n">
        <v>596</v>
      </c>
      <c r="B39" s="8" t="inlineStr">
        <is>
          <t>TEMPERO MINEIRO - ISA - 60g - CX 48</t>
        </is>
      </c>
      <c r="C39" s="8" t="inlineStr">
        <is>
          <t>ISA POTE C/ST</t>
        </is>
      </c>
      <c r="D39" s="8" t="inlineStr">
        <is>
          <t>60 g</t>
        </is>
      </c>
      <c r="E39" s="9" t="n">
        <v>0.061</v>
      </c>
      <c r="F39" s="10" t="n">
        <v>84</v>
      </c>
      <c r="G39" s="10" t="n">
        <v>0</v>
      </c>
      <c r="H39" s="10">
        <f>F39+G39</f>
        <v/>
      </c>
      <c r="I39" s="5" t="n"/>
      <c r="J39" s="11">
        <f>H39-I39</f>
        <v/>
      </c>
      <c r="K39" s="12">
        <f>J39*E39</f>
        <v/>
      </c>
    </row>
    <row r="40">
      <c r="A40" s="2" t="n">
        <v>597</v>
      </c>
      <c r="B40" s="2" t="inlineStr">
        <is>
          <t>TEMPERO PARA CARNE - ISA - 60g - CX 48</t>
        </is>
      </c>
      <c r="C40" s="2" t="inlineStr">
        <is>
          <t>ISA POTE C/ST</t>
        </is>
      </c>
      <c r="D40" s="2" t="inlineStr">
        <is>
          <t>60 g</t>
        </is>
      </c>
      <c r="E40" s="3" t="n">
        <v>0.061</v>
      </c>
      <c r="F40" s="4" t="n">
        <v>32</v>
      </c>
      <c r="G40" s="4" t="n">
        <v>0</v>
      </c>
      <c r="H40" s="4">
        <f>F40+G40</f>
        <v/>
      </c>
      <c r="I40" s="5" t="n"/>
      <c r="J40" s="6">
        <f>H40-I40</f>
        <v/>
      </c>
      <c r="K40" s="7">
        <f>J40*E40</f>
        <v/>
      </c>
    </row>
    <row r="41">
      <c r="A41" s="8" t="n">
        <v>593</v>
      </c>
      <c r="B41" s="8" t="inlineStr">
        <is>
          <t>TEMPERO PARA FEIJÃO - ISA - 60g - CX 48</t>
        </is>
      </c>
      <c r="C41" s="8" t="inlineStr">
        <is>
          <t>ISA POTE C/ST</t>
        </is>
      </c>
      <c r="D41" s="8" t="inlineStr">
        <is>
          <t>60 g</t>
        </is>
      </c>
      <c r="E41" s="9" t="n">
        <v>0.061</v>
      </c>
      <c r="F41" s="10" t="n">
        <v>38</v>
      </c>
      <c r="G41" s="10" t="n">
        <v>0</v>
      </c>
      <c r="H41" s="10">
        <f>F41+G41</f>
        <v/>
      </c>
      <c r="I41" s="5" t="n"/>
      <c r="J41" s="11">
        <f>H41-I41</f>
        <v/>
      </c>
      <c r="K41" s="12">
        <f>J41*E41</f>
        <v/>
      </c>
    </row>
    <row r="42">
      <c r="A42" s="2" t="n">
        <v>598</v>
      </c>
      <c r="B42" s="2" t="inlineStr">
        <is>
          <t>TEMPERO PARA FRANGO - ISA - 80g - CX 48</t>
        </is>
      </c>
      <c r="C42" s="2" t="inlineStr">
        <is>
          <t>ISA POTE C/ST</t>
        </is>
      </c>
      <c r="D42" s="2" t="inlineStr">
        <is>
          <t>80 g</t>
        </is>
      </c>
      <c r="E42" s="3" t="n">
        <v>0.081</v>
      </c>
      <c r="F42" s="4" t="n">
        <v>182</v>
      </c>
      <c r="G42" s="4" t="n">
        <v>0</v>
      </c>
      <c r="H42" s="4">
        <f>F42+G42</f>
        <v/>
      </c>
      <c r="I42" s="5" t="n"/>
      <c r="J42" s="6">
        <f>H42-I42</f>
        <v/>
      </c>
      <c r="K42" s="7">
        <f>J42*E42</f>
        <v/>
      </c>
    </row>
    <row r="43">
      <c r="A43" s="8" t="n">
        <v>610</v>
      </c>
      <c r="B43" s="8" t="inlineStr">
        <is>
          <t>TEMPERO PARA PIPOCA - ISA - 60g - CX 48</t>
        </is>
      </c>
      <c r="C43" s="8" t="inlineStr">
        <is>
          <t>ISA POTE C/ST</t>
        </is>
      </c>
      <c r="D43" s="8" t="inlineStr">
        <is>
          <t>60 g</t>
        </is>
      </c>
      <c r="E43" s="9" t="n">
        <v>0.061</v>
      </c>
      <c r="F43" s="10" t="n">
        <v>28</v>
      </c>
      <c r="G43" s="10" t="n">
        <v>0</v>
      </c>
      <c r="H43" s="10">
        <f>F43+G43</f>
        <v/>
      </c>
      <c r="I43" s="5" t="n"/>
      <c r="J43" s="11">
        <f>H43-I43</f>
        <v/>
      </c>
      <c r="K43" s="12">
        <f>J43*E43</f>
        <v/>
      </c>
    </row>
    <row r="44">
      <c r="A44" s="2" t="n">
        <v>599</v>
      </c>
      <c r="B44" s="2" t="inlineStr">
        <is>
          <t>TEMPERO PEGA ESPOSA - ISA - 60g - CX 48</t>
        </is>
      </c>
      <c r="C44" s="2" t="inlineStr">
        <is>
          <t>ISA POTE C/ST</t>
        </is>
      </c>
      <c r="D44" s="2" t="inlineStr">
        <is>
          <t>60 g</t>
        </is>
      </c>
      <c r="E44" s="3" t="n">
        <v>0.061</v>
      </c>
      <c r="F44" s="4" t="n">
        <v>95</v>
      </c>
      <c r="G44" s="4" t="n">
        <v>0</v>
      </c>
      <c r="H44" s="4">
        <f>F44+G44</f>
        <v/>
      </c>
      <c r="I44" s="5" t="n"/>
      <c r="J44" s="6">
        <f>H44-I44</f>
        <v/>
      </c>
      <c r="K44" s="7">
        <f>J44*E44</f>
        <v/>
      </c>
    </row>
    <row r="45">
      <c r="A45" s="8" t="n">
        <v>600</v>
      </c>
      <c r="B45" s="8" t="inlineStr">
        <is>
          <t>TEMPERO PEGA MARIDO - ISA - 50g - CX 48</t>
        </is>
      </c>
      <c r="C45" s="8" t="inlineStr">
        <is>
          <t>ISA POTE C/ST</t>
        </is>
      </c>
      <c r="D45" s="8" t="inlineStr">
        <is>
          <t>50 g</t>
        </is>
      </c>
      <c r="E45" s="9" t="n">
        <v>0.051</v>
      </c>
      <c r="F45" s="10" t="n">
        <v>0</v>
      </c>
      <c r="G45" s="10" t="n">
        <v>0</v>
      </c>
      <c r="H45" s="10">
        <f>F45+G45</f>
        <v/>
      </c>
      <c r="I45" s="5" t="n"/>
      <c r="J45" s="11">
        <f>H45-I45</f>
        <v/>
      </c>
      <c r="K45" s="12">
        <f>J45*E45</f>
        <v/>
      </c>
    </row>
    <row r="46">
      <c r="A46" s="2" t="n">
        <v>605</v>
      </c>
      <c r="B46" s="2" t="inlineStr">
        <is>
          <t>VINAGRETE - ISA - 40g - CX 48</t>
        </is>
      </c>
      <c r="C46" s="2" t="inlineStr">
        <is>
          <t>ISA POTE S/ST</t>
        </is>
      </c>
      <c r="D46" s="2" t="inlineStr">
        <is>
          <t>40 g</t>
        </is>
      </c>
      <c r="E46" s="3" t="n">
        <v>0.041</v>
      </c>
      <c r="F46" s="4" t="n">
        <v>1575</v>
      </c>
      <c r="G46" s="4" t="n">
        <v>0</v>
      </c>
      <c r="H46" s="4">
        <f>F46+G46</f>
        <v/>
      </c>
      <c r="I46" s="5" t="n"/>
      <c r="J46" s="6">
        <f>H46-I46</f>
        <v/>
      </c>
      <c r="K46" s="7">
        <f>J46*E46</f>
        <v/>
      </c>
    </row>
    <row r="47">
      <c r="A47" s="13" t="n"/>
      <c r="B47" s="14" t="inlineStr">
        <is>
          <t>TOTAL</t>
        </is>
      </c>
      <c r="C47" s="13" t="n"/>
      <c r="D47" s="13" t="n"/>
      <c r="E47" s="13" t="n"/>
      <c r="F47" s="15">
        <f>SUBTOTAL(9,F2:F46)</f>
        <v/>
      </c>
      <c r="G47" s="15">
        <f>SUBTOTAL(9,G2:G46)</f>
        <v/>
      </c>
      <c r="H47" s="15">
        <f>SUBTOTAL(9,H2:H46)</f>
        <v/>
      </c>
      <c r="I47" s="15">
        <f>SUBTOTAL(9,I2:I46)</f>
        <v/>
      </c>
      <c r="J47" s="16">
        <f>SUBTOTAL(9,J2:J46)</f>
        <v/>
      </c>
      <c r="K47" s="17">
        <f>SUBTOTAL(9,K2:K46)</f>
        <v/>
      </c>
    </row>
    <row r="48"/>
    <row r="49">
      <c r="B49" s="18" t="inlineStr">
        <is>
          <t>Este arquivo é o CADASTRO + ESTOQUE: use nos botões Importar cadastro e Importar estoque atual. A coluna 'pedido ttl' fica vazia — o pedido vem do PDF do cliente, pelo botão Importar pedido. As colunas de cálculo (estoque disponível, produzir, quilos) são só conferência no Excel.</t>
        </is>
      </c>
    </row>
    <row r="50">
      <c r="B50" s="18" t="inlineStr">
        <is>
          <t>Peso para produção (gr de uso) = peso do pote + 1 g de margem, igual para todos (60 g → 0,061 kg). Sem margem: orégano, cravo e bicarbonato. Local 5 veio zerado porque a exportação do ERP só trouxe o local 1.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2026-09-08T17:04:26Z</dcterms:created>
  <dcterms:modified xmlns:dcterms="http://purl.org/dc/terms/" xmlns:xsi="http://www.w3.org/2001/XMLSchema-instance" xsi:type="dcterms:W3CDTF">2026-09-08T17:40:52Z</dcterms:modified>
</cp:coreProperties>
</file>